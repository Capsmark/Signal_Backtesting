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gnal Backtesting\Output\"/>
    </mc:Choice>
  </mc:AlternateContent>
  <xr:revisionPtr revIDLastSave="0" documentId="13_ncr:1_{B4657135-A5B2-4537-826D-00EDDFAE6A99}" xr6:coauthVersionLast="47" xr6:coauthVersionMax="47" xr10:uidLastSave="{00000000-0000-0000-0000-000000000000}"/>
  <bookViews>
    <workbookView xWindow="22932" yWindow="-192" windowWidth="23256" windowHeight="13176" xr2:uid="{F07CE920-1938-4B23-948A-C9B3E4E84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0" i="1"/>
  <c r="I19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<sst xmlns="http://schemas.openxmlformats.org/spreadsheetml/2006/main" count="21" uniqueCount="21">
  <si>
    <t>Start Date</t>
  </si>
  <si>
    <t>End Date</t>
  </si>
  <si>
    <t>Total Trades</t>
  </si>
  <si>
    <t>Wins</t>
  </si>
  <si>
    <t>Losses</t>
  </si>
  <si>
    <t>WinRate</t>
  </si>
  <si>
    <t>Final NAV</t>
  </si>
  <si>
    <t>Monthly ROI</t>
  </si>
  <si>
    <t>TP</t>
  </si>
  <si>
    <t>SL</t>
  </si>
  <si>
    <t>Entry Time Offset</t>
  </si>
  <si>
    <t>Percentage Change</t>
  </si>
  <si>
    <t>ignoring signals around economic events</t>
  </si>
  <si>
    <t>Signals' condition</t>
  </si>
  <si>
    <t>all signals</t>
  </si>
  <si>
    <t>separating weekends and weekdays</t>
  </si>
  <si>
    <t>optimization over 15 trades</t>
  </si>
  <si>
    <t>optimization over 20 trades</t>
  </si>
  <si>
    <t>ignoring signals 7 days after macro forecasts</t>
  </si>
  <si>
    <t>ignoring signals 3 days after macro forecasts</t>
  </si>
  <si>
    <t>ignoring signals 2 days after macro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</si>
</sst>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9EC0-B041-4C84-9F6A-969788C0BADB}">
  <dimension ref="A1:M21"/>
  <sheetViews>
    <sheetView tabSelected="1" workbookViewId="0">
      <selection activeCell="C24" sqref="C24"/>
    </sheetView>
  </sheetViews>
  <sheetFormatPr defaultRowHeight="15" x14ac:dyDescent="0.25"/>
  <cols>
    <col min="1" max="1" width="41.28515625" customWidth="1"/>
    <col min="2" max="2" width="17.5703125" customWidth="1"/>
    <col min="3" max="3" width="14.85546875" customWidth="1"/>
    <col min="4" max="4" width="13.28515625" customWidth="1"/>
    <col min="9" max="9" width="14" customWidth="1"/>
    <col min="10" max="10" width="11" bestFit="1" customWidth="1"/>
    <col min="12" max="12" width="16.5703125" customWidth="1"/>
    <col min="13" max="13" width="19.85546875" customWidth="1"/>
  </cols>
  <sheetData>
    <row r="1" spans="1:13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6.5" customHeight="1" x14ac:dyDescent="0.25">
      <c r="A2" t="s">
        <v>12</v>
      </c>
      <c r="B2" s="3">
        <v>45413</v>
      </c>
      <c r="C2" s="3">
        <v>45444</v>
      </c>
      <c r="D2" s="4">
        <v>24</v>
      </c>
      <c r="E2" s="4">
        <v>14</v>
      </c>
      <c r="F2" s="4">
        <v>10</v>
      </c>
      <c r="G2" s="4">
        <v>0.58333333300000001</v>
      </c>
      <c r="H2" s="4">
        <v>102551.4241</v>
      </c>
      <c r="I2" s="4">
        <v>2.5514241000000002</v>
      </c>
      <c r="J2" s="4">
        <v>1.2E-2</v>
      </c>
      <c r="K2" s="4">
        <v>1.2E-2</v>
      </c>
      <c r="L2" s="4">
        <v>70</v>
      </c>
      <c r="M2" s="4">
        <v>6.9999999999999999E-4</v>
      </c>
    </row>
    <row r="3" spans="1:13" x14ac:dyDescent="0.25">
      <c r="B3" s="3">
        <v>45444</v>
      </c>
      <c r="C3" s="3">
        <v>45474</v>
      </c>
      <c r="D3" s="4">
        <v>23</v>
      </c>
      <c r="E3" s="4">
        <v>15</v>
      </c>
      <c r="F3" s="4">
        <v>8</v>
      </c>
      <c r="G3" s="4">
        <v>0.65217391300000005</v>
      </c>
      <c r="H3" s="4">
        <v>106888.7016</v>
      </c>
      <c r="I3" s="4">
        <v>6.8887016000000001</v>
      </c>
      <c r="J3" s="4">
        <v>1.2999999999999999E-2</v>
      </c>
      <c r="K3" s="4">
        <v>1.4E-2</v>
      </c>
      <c r="L3" s="4">
        <v>60</v>
      </c>
      <c r="M3" s="4">
        <v>2.9999999999999997E-4</v>
      </c>
    </row>
    <row r="4" spans="1:13" x14ac:dyDescent="0.25">
      <c r="A4" t="s">
        <v>14</v>
      </c>
      <c r="B4" s="2">
        <v>45413</v>
      </c>
      <c r="C4" s="2">
        <v>45444</v>
      </c>
      <c r="D4">
        <v>31</v>
      </c>
      <c r="E4">
        <v>18</v>
      </c>
      <c r="F4">
        <v>13</v>
      </c>
      <c r="G4">
        <v>0.58064516099999997</v>
      </c>
      <c r="H4">
        <v>103672.44990000001</v>
      </c>
      <c r="I4">
        <v>3.6724499380000002</v>
      </c>
      <c r="J4">
        <v>1.2E-2</v>
      </c>
      <c r="K4">
        <v>1.2E-2</v>
      </c>
      <c r="L4">
        <v>70</v>
      </c>
      <c r="M4">
        <v>5.9999999999999995E-4</v>
      </c>
    </row>
    <row r="5" spans="1:13" x14ac:dyDescent="0.25">
      <c r="B5" s="2">
        <v>45444</v>
      </c>
      <c r="C5" s="2">
        <v>45474</v>
      </c>
      <c r="D5">
        <v>31</v>
      </c>
      <c r="E5">
        <v>16</v>
      </c>
      <c r="F5">
        <v>15</v>
      </c>
      <c r="G5">
        <v>0.51612903200000004</v>
      </c>
      <c r="H5">
        <v>97382.003849999994</v>
      </c>
      <c r="I5">
        <v>-2.6179961490000001</v>
      </c>
      <c r="J5">
        <v>1.2999999999999999E-2</v>
      </c>
      <c r="K5">
        <v>1.4E-2</v>
      </c>
      <c r="L5">
        <v>60</v>
      </c>
      <c r="M5">
        <v>4.0000000000000002E-4</v>
      </c>
    </row>
    <row r="6" spans="1:13" x14ac:dyDescent="0.25">
      <c r="A6" t="s">
        <v>15</v>
      </c>
      <c r="B6" s="2">
        <v>45413</v>
      </c>
      <c r="C6" s="2">
        <v>45444</v>
      </c>
      <c r="D6">
        <v>27</v>
      </c>
      <c r="E6">
        <v>15</v>
      </c>
      <c r="F6">
        <v>12</v>
      </c>
      <c r="G6">
        <v>0.55555555555555503</v>
      </c>
      <c r="H6">
        <v>102639.07652379401</v>
      </c>
      <c r="I6">
        <f>((H6-100000)/100000)*100</f>
        <v>2.6390765237940066</v>
      </c>
      <c r="J6">
        <v>1.2999999999999901E-2</v>
      </c>
      <c r="K6">
        <v>1.19999999999999E-2</v>
      </c>
      <c r="L6">
        <v>70</v>
      </c>
      <c r="M6">
        <v>2.0000000000000001E-4</v>
      </c>
    </row>
    <row r="7" spans="1:13" x14ac:dyDescent="0.25">
      <c r="B7" s="2">
        <v>45444</v>
      </c>
      <c r="C7" s="2">
        <v>45474</v>
      </c>
      <c r="D7">
        <v>21</v>
      </c>
      <c r="E7">
        <v>12</v>
      </c>
      <c r="F7">
        <v>9</v>
      </c>
      <c r="G7">
        <v>0.57142857142857095</v>
      </c>
      <c r="H7">
        <v>103720.751069436</v>
      </c>
      <c r="I7">
        <f>((H7-100000)/100000)*100</f>
        <v>3.7207510694359951</v>
      </c>
      <c r="J7">
        <v>1.39999999999999E-2</v>
      </c>
      <c r="K7">
        <v>1.2999999999999901E-2</v>
      </c>
      <c r="L7">
        <v>70</v>
      </c>
      <c r="M7">
        <v>6.9999999999999999E-4</v>
      </c>
    </row>
    <row r="8" spans="1:13" x14ac:dyDescent="0.25">
      <c r="A8" t="s">
        <v>18</v>
      </c>
      <c r="B8" s="2">
        <v>45413</v>
      </c>
      <c r="C8" s="2">
        <v>45444</v>
      </c>
      <c r="D8">
        <v>15</v>
      </c>
      <c r="E8">
        <v>8</v>
      </c>
      <c r="F8">
        <v>7</v>
      </c>
      <c r="G8">
        <v>0.53333333333333299</v>
      </c>
      <c r="H8">
        <v>99604.956746763695</v>
      </c>
      <c r="I8">
        <f>((H8-100000)/100000)*100</f>
        <v>-0.39504325323630474</v>
      </c>
      <c r="J8">
        <v>1.19999999999999E-2</v>
      </c>
      <c r="K8">
        <v>1.19999999999999E-2</v>
      </c>
      <c r="L8">
        <v>70</v>
      </c>
      <c r="M8">
        <v>5.9999999999999995E-4</v>
      </c>
    </row>
    <row r="9" spans="1:13" x14ac:dyDescent="0.25">
      <c r="B9" s="2">
        <v>45444</v>
      </c>
      <c r="C9" s="2">
        <v>45474</v>
      </c>
      <c r="D9">
        <v>18</v>
      </c>
      <c r="E9">
        <v>11</v>
      </c>
      <c r="F9">
        <v>7</v>
      </c>
      <c r="G9">
        <v>0.61111111111111105</v>
      </c>
      <c r="H9">
        <v>103319.118026442</v>
      </c>
      <c r="I9">
        <f t="shared" ref="I9" si="0">((H9-100000)/100000)*100</f>
        <v>3.3191180264419966</v>
      </c>
      <c r="J9">
        <v>1.2999999999999901E-2</v>
      </c>
      <c r="K9">
        <v>1.39999999999999E-2</v>
      </c>
      <c r="L9">
        <v>60</v>
      </c>
      <c r="M9">
        <v>4.0000000000000002E-4</v>
      </c>
    </row>
    <row r="10" spans="1:13" x14ac:dyDescent="0.25">
      <c r="A10" t="s">
        <v>19</v>
      </c>
      <c r="B10" s="2">
        <v>45413</v>
      </c>
      <c r="C10" s="2">
        <v>45444</v>
      </c>
      <c r="D10">
        <v>18</v>
      </c>
      <c r="E10">
        <v>10</v>
      </c>
      <c r="F10">
        <v>8</v>
      </c>
      <c r="G10">
        <v>0.55555555555555503</v>
      </c>
      <c r="H10">
        <v>100574.22933830399</v>
      </c>
      <c r="I10">
        <f>((H10-100000)/100000)*100</f>
        <v>0.57422933830399414</v>
      </c>
      <c r="J10">
        <v>1.19999999999999E-2</v>
      </c>
      <c r="K10">
        <v>1.19999999999999E-2</v>
      </c>
      <c r="L10">
        <v>70</v>
      </c>
      <c r="M10">
        <v>5.9999999999999995E-4</v>
      </c>
    </row>
    <row r="11" spans="1:13" x14ac:dyDescent="0.25">
      <c r="B11" s="2">
        <v>45444</v>
      </c>
      <c r="C11" s="2">
        <v>45474</v>
      </c>
      <c r="D11">
        <v>18</v>
      </c>
      <c r="E11">
        <v>11</v>
      </c>
      <c r="F11">
        <v>7</v>
      </c>
      <c r="G11">
        <v>0.61111111111111105</v>
      </c>
      <c r="H11">
        <v>101171.507776358</v>
      </c>
      <c r="I11">
        <f t="shared" ref="I11" si="1">((H11-100000)/100000)*100</f>
        <v>1.1715077763580046</v>
      </c>
      <c r="J11">
        <v>1.09999999999999E-2</v>
      </c>
      <c r="K11">
        <v>1.39999999999999E-2</v>
      </c>
      <c r="L11">
        <v>80</v>
      </c>
      <c r="M11">
        <v>6.9999999999999999E-4</v>
      </c>
    </row>
    <row r="12" spans="1:13" x14ac:dyDescent="0.25">
      <c r="A12" t="s">
        <v>20</v>
      </c>
      <c r="B12" s="2">
        <v>45413</v>
      </c>
      <c r="C12" s="2">
        <v>45444</v>
      </c>
      <c r="D12">
        <v>20</v>
      </c>
      <c r="E12">
        <v>12</v>
      </c>
      <c r="F12">
        <v>8</v>
      </c>
      <c r="G12">
        <v>0.6</v>
      </c>
      <c r="H12">
        <v>102858.361097805</v>
      </c>
      <c r="I12">
        <f>((H12-100000)/100000)*100</f>
        <v>2.8583610978049983</v>
      </c>
      <c r="J12">
        <v>1.19999999999999E-2</v>
      </c>
      <c r="K12">
        <v>1.19999999999999E-2</v>
      </c>
      <c r="L12">
        <v>70</v>
      </c>
      <c r="M12">
        <v>5.9999999999999995E-4</v>
      </c>
    </row>
    <row r="13" spans="1:13" x14ac:dyDescent="0.25">
      <c r="B13" s="2">
        <v>45444</v>
      </c>
      <c r="C13" s="2">
        <v>45474</v>
      </c>
      <c r="D13">
        <v>19</v>
      </c>
      <c r="E13">
        <v>11</v>
      </c>
      <c r="F13">
        <v>8</v>
      </c>
      <c r="G13">
        <v>0.57894736842105199</v>
      </c>
      <c r="H13">
        <v>102987.81914560399</v>
      </c>
      <c r="I13">
        <f>((H13-100000)/100000)*100</f>
        <v>2.9878191456039929</v>
      </c>
      <c r="J13">
        <v>1.39999999999999E-2</v>
      </c>
      <c r="K13">
        <v>1.39999999999999E-2</v>
      </c>
      <c r="L13">
        <v>80</v>
      </c>
      <c r="M13">
        <v>6.9999999999999999E-4</v>
      </c>
    </row>
    <row r="14" spans="1:13" x14ac:dyDescent="0.25">
      <c r="A14" t="s">
        <v>16</v>
      </c>
      <c r="B14" s="1">
        <v>45404.625</v>
      </c>
      <c r="C14" s="1">
        <v>45415.5</v>
      </c>
      <c r="D14">
        <v>8</v>
      </c>
      <c r="E14">
        <v>4</v>
      </c>
      <c r="F14">
        <v>4</v>
      </c>
      <c r="G14">
        <v>0.5</v>
      </c>
      <c r="H14">
        <v>100162.1244</v>
      </c>
      <c r="I14">
        <v>0.162124407</v>
      </c>
      <c r="J14">
        <v>1.2999999999999999E-2</v>
      </c>
      <c r="K14">
        <v>1.0999999999999999E-2</v>
      </c>
      <c r="L14">
        <v>70</v>
      </c>
      <c r="M14">
        <v>6.9999999999999999E-4</v>
      </c>
    </row>
    <row r="15" spans="1:13" x14ac:dyDescent="0.25">
      <c r="B15" s="1">
        <v>45416.458333333336</v>
      </c>
      <c r="C15" s="1">
        <v>45427.458333333336</v>
      </c>
      <c r="D15">
        <v>11</v>
      </c>
      <c r="E15">
        <v>5</v>
      </c>
      <c r="F15">
        <v>6</v>
      </c>
      <c r="G15">
        <v>0.45454545499999999</v>
      </c>
      <c r="H15">
        <v>100151.20570000001</v>
      </c>
      <c r="I15">
        <v>0.15120572400000001</v>
      </c>
      <c r="J15">
        <v>1.4E-2</v>
      </c>
      <c r="K15">
        <v>0.01</v>
      </c>
      <c r="L15">
        <v>90</v>
      </c>
      <c r="M15">
        <v>2.9999999999999997E-4</v>
      </c>
    </row>
    <row r="16" spans="1:13" x14ac:dyDescent="0.25">
      <c r="B16" s="1">
        <v>45427.75</v>
      </c>
      <c r="C16" s="1">
        <v>45437.375</v>
      </c>
      <c r="D16">
        <v>10</v>
      </c>
      <c r="E16">
        <v>3</v>
      </c>
      <c r="F16">
        <v>7</v>
      </c>
      <c r="G16">
        <v>0.3</v>
      </c>
      <c r="H16">
        <v>96037.094280000005</v>
      </c>
      <c r="I16">
        <v>-3.9629057240000001</v>
      </c>
      <c r="J16">
        <v>0.01</v>
      </c>
      <c r="K16">
        <v>8.9999999999999993E-3</v>
      </c>
      <c r="L16">
        <v>80</v>
      </c>
      <c r="M16">
        <v>2.9999999999999997E-4</v>
      </c>
    </row>
    <row r="17" spans="1:13" x14ac:dyDescent="0.25">
      <c r="B17" s="1">
        <v>45437.833333333336</v>
      </c>
      <c r="C17" s="1">
        <v>45454.5</v>
      </c>
      <c r="D17">
        <v>10</v>
      </c>
      <c r="E17">
        <v>6</v>
      </c>
      <c r="F17">
        <v>4</v>
      </c>
      <c r="G17">
        <v>0.6</v>
      </c>
      <c r="H17">
        <v>101599.60799999999</v>
      </c>
      <c r="I17">
        <v>1.5996080420000001</v>
      </c>
      <c r="J17">
        <v>1.2999999999999999E-2</v>
      </c>
      <c r="K17">
        <v>1.4E-2</v>
      </c>
      <c r="L17">
        <v>60</v>
      </c>
      <c r="M17">
        <v>2.9999999999999997E-4</v>
      </c>
    </row>
    <row r="18" spans="1:13" x14ac:dyDescent="0.25">
      <c r="B18" s="1">
        <v>45454.625</v>
      </c>
      <c r="C18" s="1">
        <v>45466.5</v>
      </c>
      <c r="D18">
        <v>6</v>
      </c>
      <c r="E18">
        <v>5</v>
      </c>
      <c r="F18">
        <v>1</v>
      </c>
      <c r="G18">
        <v>0.83333333300000001</v>
      </c>
      <c r="H18">
        <v>104220.9584</v>
      </c>
      <c r="I18">
        <v>4.2209584309999997</v>
      </c>
      <c r="J18">
        <v>1.2E-2</v>
      </c>
      <c r="K18">
        <v>1.4E-2</v>
      </c>
      <c r="L18">
        <v>60</v>
      </c>
      <c r="M18">
        <v>6.9999999999999999E-4</v>
      </c>
    </row>
    <row r="19" spans="1:13" x14ac:dyDescent="0.25">
      <c r="A19" t="s">
        <v>17</v>
      </c>
      <c r="B19" s="1">
        <v>45408.833333333336</v>
      </c>
      <c r="C19" s="1">
        <v>45423</v>
      </c>
      <c r="D19">
        <v>14</v>
      </c>
      <c r="E19">
        <v>8</v>
      </c>
      <c r="F19">
        <v>6</v>
      </c>
      <c r="G19">
        <v>0.57142857142857095</v>
      </c>
      <c r="H19">
        <v>104830.72734888901</v>
      </c>
      <c r="I19">
        <f>((H19-100000)/100000)*100</f>
        <v>4.8307273488890061</v>
      </c>
      <c r="J19">
        <v>1.39999999999999E-2</v>
      </c>
      <c r="K19">
        <v>8.9999999999999993E-3</v>
      </c>
      <c r="L19">
        <v>60</v>
      </c>
      <c r="M19">
        <v>2.0000000000000001E-4</v>
      </c>
    </row>
    <row r="20" spans="1:13" x14ac:dyDescent="0.25">
      <c r="B20" s="1">
        <v>45424.041666666664</v>
      </c>
      <c r="C20" s="1">
        <v>45437.375</v>
      </c>
      <c r="D20">
        <v>13</v>
      </c>
      <c r="E20">
        <v>5</v>
      </c>
      <c r="F20">
        <v>8</v>
      </c>
      <c r="G20">
        <v>0.38461538461538403</v>
      </c>
      <c r="H20">
        <v>97057.973790070901</v>
      </c>
      <c r="I20">
        <f t="shared" ref="I20:I21" si="2">((H20-100000)/100000)*100</f>
        <v>-2.9420262099290992</v>
      </c>
      <c r="J20">
        <v>1.19999999999999E-2</v>
      </c>
      <c r="K20">
        <v>9.9999999999999898E-3</v>
      </c>
      <c r="L20">
        <v>90</v>
      </c>
      <c r="M20">
        <v>2.9999999999999997E-4</v>
      </c>
    </row>
    <row r="21" spans="1:13" x14ac:dyDescent="0.25">
      <c r="B21" s="1">
        <v>45437.833333333336</v>
      </c>
      <c r="C21" s="1">
        <v>45457.708333333336</v>
      </c>
      <c r="D21">
        <v>14</v>
      </c>
      <c r="E21">
        <v>9</v>
      </c>
      <c r="F21">
        <v>5</v>
      </c>
      <c r="G21">
        <v>0.64285714285714202</v>
      </c>
      <c r="H21">
        <v>102904.435404205</v>
      </c>
      <c r="I21">
        <f t="shared" si="2"/>
        <v>2.904435404204996</v>
      </c>
      <c r="J21">
        <v>1.19999999999999E-2</v>
      </c>
      <c r="K21">
        <v>1.39999999999999E-2</v>
      </c>
      <c r="L21">
        <v>60</v>
      </c>
      <c r="M21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fatehi</dc:creator>
  <cp:lastModifiedBy>zahra fatehi</cp:lastModifiedBy>
  <dcterms:created xsi:type="dcterms:W3CDTF">2024-07-27T11:36:47Z</dcterms:created>
  <dcterms:modified xsi:type="dcterms:W3CDTF">2024-07-27T12:09:13Z</dcterms:modified>
</cp:coreProperties>
</file>